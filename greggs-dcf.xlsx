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0138832153f364/Documents/Finance portfolio projects/"/>
    </mc:Choice>
  </mc:AlternateContent>
  <xr:revisionPtr revIDLastSave="1484" documentId="8_{E574A8F5-FCA4-47C3-805C-C8A3CDB2F26B}" xr6:coauthVersionLast="47" xr6:coauthVersionMax="47" xr10:uidLastSave="{51F13127-8C77-4A6A-AB27-D93B031F2829}"/>
  <bookViews>
    <workbookView xWindow="11430" yWindow="0" windowWidth="11700" windowHeight="14730" firstSheet="2" activeTab="3" xr2:uid="{0C3DFFD8-A44E-4D0C-AF64-63871CDFD5C9}"/>
  </bookViews>
  <sheets>
    <sheet name="Historicals" sheetId="1" r:id="rId1"/>
    <sheet name="Sensitivity " sheetId="2" r:id="rId2"/>
    <sheet name="DCF model " sheetId="3" r:id="rId3"/>
    <sheet name="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7" i="2" l="1" a="1"/>
  <c r="F7" i="2" a="1"/>
  <c r="E7" i="2" a="1"/>
  <c r="D7" i="2" a="1"/>
  <c r="C7" i="2" a="1"/>
  <c r="G6" i="2" a="1"/>
  <c r="F6" i="2" a="1"/>
  <c r="E6" i="2" a="1"/>
  <c r="D6" i="2" a="1"/>
  <c r="C6" i="2" a="1"/>
  <c r="G5" i="2" a="1"/>
  <c r="F5" i="2" a="1"/>
  <c r="E5" i="2" a="1"/>
  <c r="D5" i="2" a="1"/>
  <c r="C5" i="2" a="1"/>
  <c r="G4" i="2" a="1"/>
  <c r="F4" i="2" a="1"/>
  <c r="E4" i="2" a="1"/>
  <c r="D4" i="2" a="1"/>
  <c r="C4" i="2" a="1"/>
  <c r="G3" i="2" a="1"/>
  <c r="F3" i="2" a="1"/>
  <c r="E3" i="2" a="1"/>
  <c r="D3" i="2" a="1"/>
  <c r="C3" i="2" a="1"/>
  <c r="B14" i="2"/>
  <c r="B13" i="2"/>
  <c r="F11" i="2"/>
  <c r="E11" i="2"/>
  <c r="D11" i="2"/>
  <c r="C11" i="2"/>
  <c r="B11" i="2"/>
  <c r="B5" i="2"/>
  <c r="B33" i="3"/>
  <c r="B15" i="3"/>
  <c r="H6" i="3"/>
  <c r="H10" i="3" s="1"/>
  <c r="B9" i="3" s="1"/>
  <c r="B22" i="3" l="1"/>
  <c r="B21" i="3"/>
  <c r="B20" i="3"/>
  <c r="B17" i="3"/>
  <c r="C15" i="3"/>
  <c r="B24" i="3"/>
  <c r="C24" i="3"/>
  <c r="D24" i="3"/>
  <c r="E24" i="3"/>
  <c r="F24" i="3"/>
  <c r="B16" i="3" l="1"/>
  <c r="B18" i="3"/>
  <c r="B19" i="3" s="1"/>
  <c r="B23" i="3" s="1"/>
  <c r="B25" i="3" s="1"/>
  <c r="D15" i="3"/>
  <c r="C17" i="3"/>
  <c r="C20" i="3"/>
  <c r="C21" i="3"/>
  <c r="C22" i="3"/>
  <c r="D17" i="3" l="1"/>
  <c r="D20" i="3"/>
  <c r="D21" i="3"/>
  <c r="D22" i="3"/>
  <c r="E15" i="3"/>
  <c r="C16" i="3"/>
  <c r="C18" i="3"/>
  <c r="C19" i="3" s="1"/>
  <c r="C23" i="3" s="1"/>
  <c r="C25" i="3" s="1"/>
  <c r="D16" i="3" l="1"/>
  <c r="D18" i="3"/>
  <c r="D19" i="3"/>
  <c r="D23" i="3" s="1"/>
  <c r="D25" i="3" s="1"/>
  <c r="E17" i="3"/>
  <c r="E20" i="3"/>
  <c r="E21" i="3"/>
  <c r="E22" i="3"/>
  <c r="F15" i="3"/>
  <c r="E16" i="3" l="1"/>
  <c r="E18" i="3"/>
  <c r="E19" i="3"/>
  <c r="E23" i="3" s="1"/>
  <c r="E25" i="3" s="1"/>
  <c r="F17" i="3"/>
  <c r="F20" i="3"/>
  <c r="F21" i="3"/>
  <c r="F22" i="3"/>
  <c r="F16" i="3" l="1"/>
  <c r="F18" i="3"/>
  <c r="F19" i="3"/>
  <c r="F23" i="3" s="1"/>
  <c r="F25" i="3" l="1"/>
  <c r="B27" i="3" s="1"/>
  <c r="B28" i="3"/>
  <c r="B29" i="3" s="1"/>
  <c r="B30" i="3" l="1"/>
  <c r="B31" i="3" s="1"/>
  <c r="B32" i="3" s="1"/>
  <c r="B3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<sst xmlns="http://schemas.openxmlformats.org/spreadsheetml/2006/main" count="102" uniqueCount="99">
  <si>
    <t>Greggs DCF - Historicals</t>
  </si>
  <si>
    <t>£m</t>
  </si>
  <si>
    <t xml:space="preserve">Revenue </t>
  </si>
  <si>
    <t xml:space="preserve">Operating Profit </t>
  </si>
  <si>
    <t>D&amp;A</t>
  </si>
  <si>
    <t xml:space="preserve">Net debt </t>
  </si>
  <si>
    <t>Shares (m)</t>
  </si>
  <si>
    <t xml:space="preserve">Share Price </t>
  </si>
  <si>
    <t>Revenue</t>
  </si>
  <si>
    <t>Capex</t>
  </si>
  <si>
    <t>Tax Paid</t>
  </si>
  <si>
    <t>Share proce 06/08/2026, LSE:GRG, pence converted to £</t>
  </si>
  <si>
    <t xml:space="preserve">Revenue growth </t>
  </si>
  <si>
    <t>EBIT margin</t>
  </si>
  <si>
    <t>Tax rate</t>
  </si>
  <si>
    <t xml:space="preserve">D&amp;A % of revenue </t>
  </si>
  <si>
    <t xml:space="preserve">Capex % of revenue </t>
  </si>
  <si>
    <t xml:space="preserve">Working capital % of revenue </t>
  </si>
  <si>
    <t>WACC</t>
  </si>
  <si>
    <t xml:space="preserve">Terminal growth </t>
  </si>
  <si>
    <t>Risk-free rate</t>
  </si>
  <si>
    <t>Beta</t>
  </si>
  <si>
    <t>Cost of debt (after tax)</t>
  </si>
  <si>
    <t>Below the recent 11% as growth slows; still expanding shops</t>
  </si>
  <si>
    <t>3-year average; margins have been stable</t>
  </si>
  <si>
    <t>UK corporation tax rate.</t>
  </si>
  <si>
    <t>Recent years ran ~7%; held flat</t>
  </si>
  <si>
    <t>Recent 2-year average; capex is high due to shop expansion</t>
  </si>
  <si>
    <t>Tiny — Greggs takes cash at the till, so little is tied up</t>
  </si>
  <si>
    <t>UK 10-year government bond yield.</t>
  </si>
  <si>
    <t>How much the share moves vs the market. ~1.15 over 5 years.</t>
  </si>
  <si>
    <t xml:space="preserve">Terminology </t>
  </si>
  <si>
    <t>Long-run growth after year 5. Set near UK GDP/inflation (~2%). Can't exceed GDP forever, or Greggs would outgrow the economy.</t>
  </si>
  <si>
    <t>Share from debt. ~0% — Greggs is essentially all-equity funded.</t>
  </si>
  <si>
    <t>WACC BUILD</t>
  </si>
  <si>
    <t>Input</t>
  </si>
  <si>
    <t>Reasoning / Source</t>
  </si>
  <si>
    <t>Equity risk premium</t>
  </si>
  <si>
    <t>Extra return investors want for holding shares instead of safe government bonds. ~5% is the standard UK assumption.</t>
  </si>
  <si>
    <t>Cost of equity</t>
  </si>
  <si>
    <t>Risk-free + beta × risk premium (CAPM). The return shareholders require.</t>
  </si>
  <si>
    <t>Interest rate after tax. ~3%, but immaterial — Greggs has almost no debt.</t>
  </si>
  <si>
    <t>Equity weight</t>
  </si>
  <si>
    <t>Share of funding from equity. ~100% for Greggs.</t>
  </si>
  <si>
    <t>Debt weight</t>
  </si>
  <si>
    <t>Blended required return used to discount free cash flows.</t>
  </si>
  <si>
    <t>Greggs DCF Model</t>
  </si>
  <si>
    <t>Greggs DCF – Assumptions</t>
  </si>
  <si>
    <t>The discount rate; built in the WACC block to the right.</t>
  </si>
  <si>
    <t>Forecast Free Cash Flow</t>
  </si>
  <si>
    <t>Year 1</t>
  </si>
  <si>
    <t>Year 2</t>
  </si>
  <si>
    <t>Year 3</t>
  </si>
  <si>
    <t>Year 4</t>
  </si>
  <si>
    <t>Year 5</t>
  </si>
  <si>
    <t>EBITDA</t>
  </si>
  <si>
    <t xml:space="preserve">EBIT </t>
  </si>
  <si>
    <t>Tax</t>
  </si>
  <si>
    <t>NOPAT</t>
  </si>
  <si>
    <t>Add: D&amp;A</t>
  </si>
  <si>
    <t>Less: Capex</t>
  </si>
  <si>
    <t xml:space="preserve">Less: WC increase </t>
  </si>
  <si>
    <t xml:space="preserve">Free Cash Flow </t>
  </si>
  <si>
    <t xml:space="preserve">Discount factor </t>
  </si>
  <si>
    <t>PV of FCF</t>
  </si>
  <si>
    <t>Sum of Pv of FCP</t>
  </si>
  <si>
    <t xml:space="preserve">Terminal value </t>
  </si>
  <si>
    <t xml:space="preserve">PV of Terminal Value </t>
  </si>
  <si>
    <t>Enterprise Value</t>
  </si>
  <si>
    <t xml:space="preserve">Equity Value </t>
  </si>
  <si>
    <t>Current Price (£)</t>
  </si>
  <si>
    <t>Value per Share (£)</t>
  </si>
  <si>
    <t>Upside/Downside</t>
  </si>
  <si>
    <t>Sensitivity – Implied Value per Share (£)</t>
  </si>
  <si>
    <t>WACC \ Terminal growth</t>
  </si>
  <si>
    <t>Model links</t>
  </si>
  <si>
    <t>Free cash flow (£m)</t>
  </si>
  <si>
    <t>Year</t>
  </si>
  <si>
    <t>Net debt / (cash) (£m)</t>
  </si>
  <si>
    <t>Shares outstanding (m)</t>
  </si>
  <si>
    <t xml:space="preserve">Summary </t>
  </si>
  <si>
    <t xml:space="preserve">Tab 1 - Historicals </t>
  </si>
  <si>
    <t xml:space="preserve">Purpose: The raw material. Actual figures, from Greggs annual report, which everything else is forecast from. </t>
  </si>
  <si>
    <t xml:space="preserve">Revenue, operating profit: from the consolidated income statement. </t>
  </si>
  <si>
    <t>D&amp;A: from the cash flow statement: depreciation of property/equipment + depreciation of right of use + ammortisation, summed</t>
  </si>
  <si>
    <t>Capex — from investing activities: purchase of property, plant &amp; equipment + intangibles. Entered as a positive number</t>
  </si>
  <si>
    <t>Net debt — borrowings − cash. Greggs has no borrowings, so this is net cash (entered negative). Leases treated as an operating cost</t>
  </si>
  <si>
    <t>Tax — the actual cash 'income tax paid' line (not the accounting expense), which is more correct for a DCF</t>
  </si>
  <si>
    <t>Shares — diluted weighted-average share count from the EPS note (~102.6m). Diluted is used for valuation</t>
  </si>
  <si>
    <t>Share price - today's live price (LSE: GRG), converted from pence to £. Only today's price is needed.</t>
  </si>
  <si>
    <t xml:space="preserve">DCF (Discounted Cash Flow) - A valuation method: a company is worth the cash it will generate in future, converted to today's value ('discounted') because money later is worth less than money now </t>
  </si>
  <si>
    <t xml:space="preserve">Free Cash Flow (FCF) - The actual cash the business produces after running costs, tax and investment (Capex). Number the DCF discounts </t>
  </si>
  <si>
    <t>Revenue - Total sales</t>
  </si>
  <si>
    <t>Operating Profit / EBIT - Earnings Before Interest and Tax. Profit from core operations, before financing and tax</t>
  </si>
  <si>
    <t xml:space="preserve">EBITDA - Earnings Before Interest and Tax, Depreciation and Ammortisation. EBIT with non cash D&amp;A added back. </t>
  </si>
  <si>
    <t>D&amp;A (Depreciation &amp; Amortisation) - The accounting charge for assets wearing out. Non cash so it is added back when building FCF</t>
  </si>
  <si>
    <t>Capex (Capital Expenditrure) - Cash spent buying/building long term assets. A real cash outflow, so subtracted in FCF</t>
  </si>
  <si>
    <t xml:space="preserve">WACC - Weighted Average Cost of Capital. The discounted rate - Higher WACC ---&gt; Lower valuation </t>
  </si>
  <si>
    <t xml:space="preserve">Sensitivity analysis - A grid showing how value per share changed as WACC and terminal growth vary. Shows the answer is a range, not a single number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</si>
</sst>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.0%"/>
    <numFmt numFmtId="166" formatCode="0.000"/>
    <numFmt numFmtId="167" formatCode="\£#,##0.00"/>
    <numFmt numFmtId="168" formatCode="#,##0.0"/>
  </numFmts>
  <fonts count="2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FF"/>
      <name val="Aptos Narrow"/>
      <scheme val="minor"/>
    </font>
    <font>
      <sz val="11"/>
      <color rgb="FF0000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i/>
      <sz val="9"/>
      <color rgb="FF595959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b/>
      <sz val="11"/>
      <color rgb="FF215C98"/>
      <name val="Aptos Narrow"/>
      <family val="2"/>
      <scheme val="minor"/>
    </font>
    <font>
      <b/>
      <sz val="14"/>
      <color rgb="FF215C98"/>
      <name val="Aptos Narrow"/>
      <family val="2"/>
      <scheme val="minor"/>
    </font>
    <font>
      <b/>
      <sz val="11"/>
      <color rgb="FF215C98"/>
      <name val="Aptos Narrow"/>
      <scheme val="minor"/>
    </font>
    <font>
      <sz val="10"/>
      <color theme="1"/>
      <name val="Aptos Narrow"/>
      <scheme val="minor"/>
    </font>
    <font>
      <sz val="11"/>
      <color rgb="FF008000"/>
      <name val="Aptos Narrow"/>
      <scheme val="minor"/>
    </font>
    <font>
      <sz val="10.5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9EF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215C98"/>
      </left>
      <right style="thin">
        <color rgb="FFBFD1E5"/>
      </right>
      <top style="thin">
        <color rgb="FF215C98"/>
      </top>
      <bottom style="thin">
        <color rgb="FFBFD1E5"/>
      </bottom>
      <diagonal/>
    </border>
    <border>
      <left style="thin">
        <color rgb="FFBFD1E5"/>
      </left>
      <right style="thin">
        <color rgb="FFBFD1E5"/>
      </right>
      <top style="thin">
        <color rgb="FF215C98"/>
      </top>
      <bottom style="thin">
        <color rgb="FFBFD1E5"/>
      </bottom>
      <diagonal/>
    </border>
    <border>
      <left style="thin">
        <color rgb="FFBFD1E5"/>
      </left>
      <right style="thin">
        <color rgb="FF215C98"/>
      </right>
      <top style="thin">
        <color rgb="FF215C98"/>
      </top>
      <bottom style="thin">
        <color rgb="FFBFD1E5"/>
      </bottom>
      <diagonal/>
    </border>
    <border>
      <left style="thin">
        <color rgb="FF215C98"/>
      </left>
      <right style="thin">
        <color rgb="FFBFD1E5"/>
      </right>
      <top style="thin">
        <color rgb="FFBFD1E5"/>
      </top>
      <bottom style="thin">
        <color rgb="FFBFD1E5"/>
      </bottom>
      <diagonal/>
    </border>
    <border>
      <left style="thin">
        <color rgb="FFBFD1E5"/>
      </left>
      <right style="thin">
        <color rgb="FFBFD1E5"/>
      </right>
      <top style="thin">
        <color rgb="FFBFD1E5"/>
      </top>
      <bottom style="thin">
        <color rgb="FFBFD1E5"/>
      </bottom>
      <diagonal/>
    </border>
    <border>
      <left style="thin">
        <color rgb="FFBFD1E5"/>
      </left>
      <right style="thin">
        <color rgb="FF215C98"/>
      </right>
      <top style="thin">
        <color rgb="FFBFD1E5"/>
      </top>
      <bottom style="thin">
        <color rgb="FFBFD1E5"/>
      </bottom>
      <diagonal/>
    </border>
    <border>
      <left style="thin">
        <color rgb="FF215C98"/>
      </left>
      <right style="thin">
        <color rgb="FFBFD1E5"/>
      </right>
      <top style="thin">
        <color rgb="FFBFD1E5"/>
      </top>
      <bottom style="thin">
        <color rgb="FF215C98"/>
      </bottom>
      <diagonal/>
    </border>
    <border>
      <left style="thin">
        <color rgb="FFBFD1E5"/>
      </left>
      <right style="thin">
        <color rgb="FFBFD1E5"/>
      </right>
      <top style="thin">
        <color rgb="FFBFD1E5"/>
      </top>
      <bottom style="thin">
        <color rgb="FF215C98"/>
      </bottom>
      <diagonal/>
    </border>
    <border>
      <left style="thin">
        <color rgb="FFBFD1E5"/>
      </left>
      <right style="thin">
        <color rgb="FF215C98"/>
      </right>
      <top style="thin">
        <color rgb="FFBFD1E5"/>
      </top>
      <bottom style="thin">
        <color rgb="FF215C98"/>
      </bottom>
      <diagonal/>
    </border>
    <border>
      <left style="thin">
        <color rgb="FFBFD1E5"/>
      </left>
      <right/>
      <top style="thin">
        <color rgb="FFBFD1E5"/>
      </top>
      <bottom style="thin">
        <color rgb="FFBFD1E5"/>
      </bottom>
      <diagonal/>
    </border>
    <border>
      <left style="thin">
        <color rgb="FFBFD1E5"/>
      </left>
      <right/>
      <top style="thin">
        <color rgb="FFBFD1E5"/>
      </top>
      <bottom style="thin">
        <color rgb="FF215C98"/>
      </bottom>
      <diagonal/>
    </border>
    <border>
      <left style="thin">
        <color rgb="FFBFD1E5"/>
      </left>
      <right/>
      <top style="thin">
        <color rgb="FF215C98"/>
      </top>
      <bottom style="thin">
        <color rgb="FFBFD1E5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4" fillId="0" borderId="0" xfId="0" applyFont="1"/>
    <xf numFmtId="0" fontId="5" fillId="0" borderId="0" xfId="0" applyFont="1"/>
    <xf numFmtId="4" fontId="0" fillId="0" borderId="0" xfId="0" applyNumberFormat="1"/>
    <xf numFmtId="0" fontId="2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164" fontId="0" fillId="0" borderId="0" xfId="0" applyNumberFormat="1"/>
    <xf numFmtId="9" fontId="0" fillId="0" borderId="0" xfId="0" applyNumberFormat="1"/>
    <xf numFmtId="0" fontId="3" fillId="3" borderId="0" xfId="0" applyFont="1" applyFill="1"/>
    <xf numFmtId="0" fontId="9" fillId="0" borderId="0" xfId="0" applyFont="1"/>
    <xf numFmtId="0" fontId="10" fillId="0" borderId="0" xfId="0" applyFont="1" applyAlignment="1">
      <alignment horizontal="center"/>
    </xf>
    <xf numFmtId="0" fontId="8" fillId="4" borderId="1" xfId="0" applyFont="1" applyFill="1" applyBorder="1" applyAlignment="1">
      <alignment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vertical="center"/>
    </xf>
    <xf numFmtId="0" fontId="8" fillId="4" borderId="3" xfId="0" applyFont="1" applyFill="1" applyBorder="1" applyAlignment="1">
      <alignment vertical="center"/>
    </xf>
    <xf numFmtId="10" fontId="11" fillId="5" borderId="5" xfId="0" applyNumberFormat="1" applyFont="1" applyFill="1" applyBorder="1" applyAlignment="1">
      <alignment horizontal="center" vertical="center"/>
    </xf>
    <xf numFmtId="2" fontId="11" fillId="5" borderId="5" xfId="0" applyNumberFormat="1" applyFont="1" applyFill="1" applyBorder="1" applyAlignment="1">
      <alignment horizontal="center" vertical="center"/>
    </xf>
    <xf numFmtId="165" fontId="11" fillId="5" borderId="5" xfId="0" applyNumberFormat="1" applyFont="1" applyFill="1" applyBorder="1" applyAlignment="1">
      <alignment horizontal="center" vertical="center"/>
    </xf>
    <xf numFmtId="10" fontId="12" fillId="7" borderId="5" xfId="0" applyNumberFormat="1" applyFont="1" applyFill="1" applyBorder="1" applyAlignment="1">
      <alignment horizontal="center" vertical="center"/>
    </xf>
    <xf numFmtId="9" fontId="11" fillId="5" borderId="5" xfId="0" applyNumberFormat="1" applyFont="1" applyFill="1" applyBorder="1" applyAlignment="1">
      <alignment horizontal="center" vertical="center"/>
    </xf>
    <xf numFmtId="10" fontId="12" fillId="6" borderId="8" xfId="0" applyNumberFormat="1" applyFont="1" applyFill="1" applyBorder="1" applyAlignment="1">
      <alignment horizontal="center" vertical="center"/>
    </xf>
    <xf numFmtId="10" fontId="12" fillId="6" borderId="5" xfId="0" applyNumberFormat="1" applyFont="1" applyFill="1" applyBorder="1" applyAlignment="1">
      <alignment horizontal="center" vertical="center"/>
    </xf>
    <xf numFmtId="165" fontId="11" fillId="5" borderId="8" xfId="0" applyNumberFormat="1" applyFont="1" applyFill="1" applyBorder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6" fillId="8" borderId="0" xfId="0" applyFont="1" applyFill="1" applyAlignment="1">
      <alignment vertical="center"/>
    </xf>
    <xf numFmtId="0" fontId="0" fillId="8" borderId="0" xfId="0" applyFill="1" applyAlignment="1">
      <alignment vertical="center"/>
    </xf>
    <xf numFmtId="0" fontId="0" fillId="8" borderId="0" xfId="0" applyFill="1"/>
    <xf numFmtId="0" fontId="7" fillId="5" borderId="4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/>
    </xf>
    <xf numFmtId="0" fontId="7" fillId="5" borderId="7" xfId="0" applyFont="1" applyFill="1" applyBorder="1" applyAlignment="1">
      <alignment horizontal="left" vertical="center"/>
    </xf>
    <xf numFmtId="0" fontId="0" fillId="6" borderId="4" xfId="0" applyFill="1" applyBorder="1"/>
    <xf numFmtId="0" fontId="15" fillId="6" borderId="5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166" fontId="0" fillId="0" borderId="5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2" fillId="6" borderId="7" xfId="0" applyFont="1" applyFill="1" applyBorder="1" applyAlignment="1">
      <alignment horizontal="left" vertical="center"/>
    </xf>
    <xf numFmtId="4" fontId="0" fillId="0" borderId="5" xfId="0" applyNumberFormat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2" fillId="5" borderId="5" xfId="0" applyNumberFormat="1" applyFont="1" applyFill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4" fontId="2" fillId="6" borderId="5" xfId="0" applyNumberFormat="1" applyFont="1" applyFill="1" applyBorder="1" applyAlignment="1">
      <alignment horizontal="center" vertical="center"/>
    </xf>
    <xf numFmtId="4" fontId="2" fillId="6" borderId="8" xfId="0" applyNumberFormat="1" applyFont="1" applyFill="1" applyBorder="1" applyAlignment="1">
      <alignment horizontal="center" vertical="center"/>
    </xf>
    <xf numFmtId="4" fontId="2" fillId="0" borderId="0" xfId="0" applyNumberFormat="1" applyFont="1"/>
    <xf numFmtId="0" fontId="16" fillId="0" borderId="0" xfId="0" applyFont="1"/>
    <xf numFmtId="0" fontId="8" fillId="4" borderId="1" xfId="0" applyFont="1" applyFill="1" applyBorder="1" applyAlignment="1">
      <alignment horizontal="left" vertical="center"/>
    </xf>
    <xf numFmtId="165" fontId="8" fillId="4" borderId="2" xfId="0" applyNumberFormat="1" applyFont="1" applyFill="1" applyBorder="1" applyAlignment="1">
      <alignment horizontal="center" vertical="center"/>
    </xf>
    <xf numFmtId="165" fontId="8" fillId="4" borderId="3" xfId="0" applyNumberFormat="1" applyFont="1" applyFill="1" applyBorder="1" applyAlignment="1">
      <alignment horizontal="center" vertical="center"/>
    </xf>
    <xf numFmtId="0" fontId="0" fillId="0" borderId="4" xfId="0" applyBorder="1"/>
    <xf numFmtId="10" fontId="15" fillId="6" borderId="5" xfId="0" applyNumberFormat="1" applyFont="1" applyFill="1" applyBorder="1" applyAlignment="1">
      <alignment horizontal="center"/>
    </xf>
    <xf numFmtId="167" fontId="0" fillId="5" borderId="5" xfId="0" applyNumberFormat="1" applyFill="1" applyBorder="1" applyAlignment="1">
      <alignment horizontal="center"/>
    </xf>
    <xf numFmtId="167" fontId="0" fillId="5" borderId="6" xfId="0" applyNumberFormat="1" applyFill="1" applyBorder="1" applyAlignment="1">
      <alignment horizontal="center"/>
    </xf>
    <xf numFmtId="167" fontId="2" fillId="9" borderId="5" xfId="0" applyNumberFormat="1" applyFont="1" applyFill="1" applyBorder="1" applyAlignment="1">
      <alignment horizontal="center"/>
    </xf>
    <xf numFmtId="0" fontId="0" fillId="0" borderId="7" xfId="0" applyBorder="1"/>
    <xf numFmtId="10" fontId="15" fillId="6" borderId="8" xfId="0" applyNumberFormat="1" applyFont="1" applyFill="1" applyBorder="1" applyAlignment="1">
      <alignment horizontal="center"/>
    </xf>
    <xf numFmtId="167" fontId="0" fillId="5" borderId="8" xfId="0" applyNumberFormat="1" applyFill="1" applyBorder="1" applyAlignment="1">
      <alignment horizontal="center"/>
    </xf>
    <xf numFmtId="167" fontId="0" fillId="5" borderId="9" xfId="0" applyNumberFormat="1" applyFill="1" applyBorder="1" applyAlignment="1">
      <alignment horizontal="center"/>
    </xf>
    <xf numFmtId="0" fontId="17" fillId="0" borderId="0" xfId="0" applyFont="1"/>
    <xf numFmtId="0" fontId="18" fillId="0" borderId="0" xfId="0" applyFont="1"/>
    <xf numFmtId="168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/>
    <xf numFmtId="0" fontId="7" fillId="6" borderId="7" xfId="0" applyFont="1" applyFill="1" applyBorder="1" applyAlignment="1">
      <alignment horizontal="left" vertical="center"/>
    </xf>
    <xf numFmtId="0" fontId="0" fillId="6" borderId="8" xfId="0" applyFill="1" applyBorder="1" applyAlignment="1">
      <alignment vertical="center"/>
    </xf>
    <xf numFmtId="0" fontId="13" fillId="8" borderId="8" xfId="0" applyFont="1" applyFill="1" applyBorder="1" applyAlignment="1">
      <alignment horizontal="left" vertical="center" wrapText="1" indent="1"/>
    </xf>
    <xf numFmtId="0" fontId="0" fillId="0" borderId="9" xfId="0" applyBorder="1" applyAlignment="1">
      <alignment vertical="center"/>
    </xf>
    <xf numFmtId="0" fontId="14" fillId="8" borderId="11" xfId="0" applyFont="1" applyFill="1" applyBorder="1" applyAlignment="1">
      <alignment horizontal="left" vertical="center" wrapText="1" indent="1"/>
    </xf>
    <xf numFmtId="0" fontId="8" fillId="4" borderId="1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0" fontId="8" fillId="4" borderId="3" xfId="0" applyFont="1" applyFill="1" applyBorder="1" applyAlignment="1">
      <alignment vertical="center"/>
    </xf>
    <xf numFmtId="0" fontId="7" fillId="5" borderId="4" xfId="0" applyFont="1" applyFill="1" applyBorder="1" applyAlignment="1">
      <alignment horizontal="left" vertical="center"/>
    </xf>
    <xf numFmtId="0" fontId="0" fillId="5" borderId="5" xfId="0" applyFill="1" applyBorder="1" applyAlignment="1">
      <alignment vertical="center"/>
    </xf>
    <xf numFmtId="0" fontId="13" fillId="8" borderId="5" xfId="0" applyFont="1" applyFill="1" applyBorder="1" applyAlignment="1">
      <alignment horizontal="left" vertical="center" wrapText="1" indent="1"/>
    </xf>
    <xf numFmtId="0" fontId="0" fillId="0" borderId="6" xfId="0" applyBorder="1" applyAlignment="1">
      <alignment vertical="center"/>
    </xf>
    <xf numFmtId="0" fontId="14" fillId="8" borderId="10" xfId="0" applyFont="1" applyFill="1" applyBorder="1" applyAlignment="1">
      <alignment horizontal="left" vertical="center" wrapText="1" indent="1"/>
    </xf>
    <xf numFmtId="0" fontId="7" fillId="7" borderId="4" xfId="0" applyFont="1" applyFill="1" applyBorder="1" applyAlignment="1">
      <alignment horizontal="left" vertical="center"/>
    </xf>
    <xf numFmtId="0" fontId="0" fillId="7" borderId="5" xfId="0" applyFill="1" applyBorder="1" applyAlignment="1">
      <alignment vertical="center"/>
    </xf>
    <xf numFmtId="0" fontId="8" fillId="4" borderId="1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15EED5A-ABE1-49E3-BB79-36B0877D0290}">
  <we:reference id="wa200009404" version="1.0.0.8" store="en-GB" storeType="OMEX"/>
  <we:alternateReferences>
    <we:reference id="wa200009404" version="1.0.0.8" store="wa200009404" storeType="OMEX"/>
  </we:alternateReferences>
  <we:properties>
    <we:property name="claude.fileId" value="&quot;586e9f18-27bf-4ed6-9fa2-c24468ed649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F111B-20E9-41BA-89BA-0287AFF109C8}">
  <dimension ref="A1:F12"/>
  <sheetViews>
    <sheetView showGridLines="0" workbookViewId="0">
      <selection activeCell="A135" sqref="A135"/>
    </sheetView>
  </sheetViews>
  <sheetFormatPr defaultRowHeight="14.5" x14ac:dyDescent="0.35"/>
  <cols>
    <col min="1" max="1" width="22.7265625" bestFit="1" customWidth="1"/>
  </cols>
  <sheetData>
    <row r="1" spans="1:6" ht="16" x14ac:dyDescent="0.4">
      <c r="A1" s="2" t="s">
        <v>0</v>
      </c>
      <c r="B1" s="2"/>
      <c r="C1" s="2"/>
      <c r="D1" s="2"/>
    </row>
    <row r="3" spans="1:6" s="4" customFormat="1" x14ac:dyDescent="0.35">
      <c r="A3" s="5" t="s">
        <v>1</v>
      </c>
      <c r="B3" s="6">
        <v>2022</v>
      </c>
      <c r="C3" s="6">
        <v>2023</v>
      </c>
      <c r="D3" s="6">
        <v>2024</v>
      </c>
    </row>
    <row r="5" spans="1:6" x14ac:dyDescent="0.35">
      <c r="A5" t="s">
        <v>8</v>
      </c>
      <c r="B5" s="3">
        <v>1512.8</v>
      </c>
      <c r="C5" s="3">
        <v>1809.6</v>
      </c>
      <c r="D5" s="3">
        <v>2014.2</v>
      </c>
    </row>
    <row r="6" spans="1:6" x14ac:dyDescent="0.35">
      <c r="A6" t="s">
        <v>3</v>
      </c>
      <c r="B6" s="3">
        <v>154.4</v>
      </c>
      <c r="C6" s="3">
        <v>171.7</v>
      </c>
      <c r="D6" s="3">
        <v>195.3</v>
      </c>
    </row>
    <row r="7" spans="1:6" x14ac:dyDescent="0.35">
      <c r="A7" t="s">
        <v>4</v>
      </c>
      <c r="B7" s="3">
        <v>115.5</v>
      </c>
      <c r="C7" s="3">
        <v>125</v>
      </c>
      <c r="D7" s="3">
        <v>140</v>
      </c>
    </row>
    <row r="8" spans="1:6" x14ac:dyDescent="0.35">
      <c r="A8" t="s">
        <v>9</v>
      </c>
      <c r="B8" s="3">
        <v>103.3</v>
      </c>
      <c r="C8" s="3">
        <v>198.1</v>
      </c>
      <c r="D8" s="3">
        <v>240.9</v>
      </c>
    </row>
    <row r="9" spans="1:6" x14ac:dyDescent="0.35">
      <c r="A9" t="s">
        <v>10</v>
      </c>
      <c r="B9" s="3">
        <v>13.3</v>
      </c>
      <c r="C9" s="3">
        <v>11.9</v>
      </c>
      <c r="D9" s="3">
        <v>27.7</v>
      </c>
    </row>
    <row r="10" spans="1:6" x14ac:dyDescent="0.35">
      <c r="A10" t="s">
        <v>5</v>
      </c>
      <c r="B10" s="7">
        <v>-191.6</v>
      </c>
      <c r="C10" s="7">
        <v>-195.3</v>
      </c>
      <c r="D10" s="7">
        <v>-125.3</v>
      </c>
    </row>
    <row r="11" spans="1:6" x14ac:dyDescent="0.35">
      <c r="A11" t="s">
        <v>6</v>
      </c>
      <c r="B11" s="3">
        <v>102.3</v>
      </c>
      <c r="C11" s="3">
        <v>102.3</v>
      </c>
      <c r="D11" s="3">
        <v>102.6</v>
      </c>
    </row>
    <row r="12" spans="1:6" x14ac:dyDescent="0.35">
      <c r="A12" t="s">
        <v>7</v>
      </c>
      <c r="B12" s="3"/>
      <c r="C12" s="3"/>
      <c r="D12" s="3">
        <v>19.149999999999999</v>
      </c>
      <c r="F12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F0DF0-26CA-491E-A68A-78344C73D90D}">
  <dimension ref="A1:G14"/>
  <sheetViews>
    <sheetView showGridLines="0" zoomScale="80" workbookViewId="0">
      <selection activeCell="C32" sqref="C32"/>
    </sheetView>
  </sheetViews>
  <sheetFormatPr defaultRowHeight="14.5" x14ac:dyDescent="0.35"/>
  <cols>
    <col min="1" max="1" width="30.90625" customWidth="1"/>
    <col min="2" max="7" width="16.36328125" customWidth="1"/>
  </cols>
  <sheetData>
    <row r="1" spans="1:7" ht="18.5" x14ac:dyDescent="0.45">
      <c r="A1" s="47" t="s">
        <v>73</v>
      </c>
    </row>
    <row r="2" spans="1:7" ht="22" customHeight="1" x14ac:dyDescent="0.35">
      <c r="A2" s="48" t="s">
        <v>74</v>
      </c>
      <c r="B2" s="13"/>
      <c r="C2" s="49">
        <v>0.01</v>
      </c>
      <c r="D2" s="49">
        <v>1.4999999999999999E-2</v>
      </c>
      <c r="E2" s="49">
        <v>0.02</v>
      </c>
      <c r="F2" s="49">
        <v>2.5000000000000001E-2</v>
      </c>
      <c r="G2" s="50">
        <v>0.03</v>
      </c>
    </row>
    <row r="3" spans="1:7" ht="22" customHeight="1" x14ac:dyDescent="0.35">
      <c r="A3" s="51"/>
      <c r="B3" s="52">
        <v>8.6900000000000005E-2</v>
      </c>
      <c r="C3" s="53" cm="1">
        <f t="array" ref="C3">(SUMPRODUCT($B$11:$F$11/(1+$B3)^$B$12:$F$12)+$F$11*(1+C$2)/($B3-C$2)/(1+$B3)^5-$B$13)/$B$14</f>
        <v>10.218890741952048</v>
      </c>
      <c r="D3" s="53" cm="1">
        <f t="array" ref="D3">(SUMPRODUCT($B$11:$F$11/(1+$B3)^$B$12:$F$12)+$F$11*(1+D$2)/($B3-D$2)/(1+$B3)^5-$B$13)/$B$14</f>
        <v>10.704854380845124</v>
      </c>
      <c r="E3" s="53" cm="1">
        <f t="array" ref="E3">(SUMPRODUCT($B$11:$F$11/(1+$B3)^$B$12:$F$12)+$F$11*(1+E$2)/($B3-E$2)/(1+$B3)^5-$B$13)/$B$14</f>
        <v>11.263458324505477</v>
      </c>
      <c r="F3" s="53" cm="1">
        <f t="array" ref="F3">(SUMPRODUCT($B$11:$F$11/(1+$B3)^$B$12:$F$12)+$F$11*(1+F$2)/($B3-F$2)/(1+$B3)^5-$B$13)/$B$14</f>
        <v>11.91230523160046</v>
      </c>
      <c r="G3" s="54" cm="1">
        <f t="array" ref="G3">(SUMPRODUCT($B$11:$F$11/(1+$B3)^$B$12:$F$12)+$F$11*(1+G$2)/($B3-G$2)/(1+$B3)^5-$B$13)/$B$14</f>
        <v>12.675184987042538</v>
      </c>
    </row>
    <row r="4" spans="1:7" ht="22" customHeight="1" x14ac:dyDescent="0.35">
      <c r="A4" s="51"/>
      <c r="B4" s="52">
        <v>9.69E-2</v>
      </c>
      <c r="C4" s="53" cm="1">
        <f t="array" ref="C4">(SUMPRODUCT($B$11:$F$11/(1+$B4)^$B$12:$F$12)+$F$11*(1+C$2)/($B4-C$2)/(1+$B4)^5-$B$13)/$B$14</f>
        <v>9.1470465715090068</v>
      </c>
      <c r="D4" s="53" cm="1">
        <f t="array" ref="D4">(SUMPRODUCT($B$11:$F$11/(1+$B4)^$B$12:$F$12)+$F$11*(1+D$2)/($B4-D$2)/(1+$B4)^5-$B$13)/$B$14</f>
        <v>9.5109997666984931</v>
      </c>
      <c r="E4" s="53" cm="1">
        <f t="array" ref="E4">(SUMPRODUCT($B$11:$F$11/(1+$B4)^$B$12:$F$12)+$F$11*(1+E$2)/($B4-E$2)/(1+$B4)^5-$B$13)/$B$14</f>
        <v>9.922281075696759</v>
      </c>
      <c r="F4" s="53" cm="1">
        <f t="array" ref="F4">(SUMPRODUCT($B$11:$F$11/(1+$B4)^$B$12:$F$12)+$F$11*(1+F$2)/($B4-F$2)/(1+$B4)^5-$B$13)/$B$14</f>
        <v>10.390764235737898</v>
      </c>
      <c r="G4" s="54" cm="1">
        <f t="array" ref="G4">(SUMPRODUCT($B$11:$F$11/(1+$B4)^$B$12:$F$12)+$F$11*(1+G$2)/($B4-G$2)/(1+$B4)^5-$B$13)/$B$14</f>
        <v>10.929274773961565</v>
      </c>
    </row>
    <row r="5" spans="1:7" ht="22" customHeight="1" x14ac:dyDescent="0.35">
      <c r="A5" s="51"/>
      <c r="B5" s="52">
        <f>'DCF model '!B9</f>
        <v>0.1069</v>
      </c>
      <c r="C5" s="53" cm="1">
        <f t="array" ref="C5">(SUMPRODUCT($B$11:$F$11/(1+$B5)^$B$12:$F$12)+$F$11*(1+C$2)/($B5-C$2)/(1+$B5)^5-$B$13)/$B$14</f>
        <v>8.2975951515940523</v>
      </c>
      <c r="D5" s="53" cm="1">
        <f t="array" ref="D5">(SUMPRODUCT($B$11:$F$11/(1+$B5)^$B$12:$F$12)+$F$11*(1+D$2)/($B5-D$2)/(1+$B5)^5-$B$13)/$B$14</f>
        <v>8.5781026805217824</v>
      </c>
      <c r="E5" s="55" cm="1">
        <f t="array" ref="E5">(SUMPRODUCT($B$11:$F$11/(1+$B5)^$B$12:$F$12)+$F$11*(1+E$2)/($B5-E$2)/(1+$B5)^5-$B$13)/$B$14</f>
        <v>8.890889556852013</v>
      </c>
      <c r="F5" s="53" cm="1">
        <f t="array" ref="F5">(SUMPRODUCT($B$11:$F$11/(1+$B5)^$B$12:$F$12)+$F$11*(1+F$2)/($B5-F$2)/(1+$B5)^5-$B$13)/$B$14</f>
        <v>9.241867748973478</v>
      </c>
      <c r="G5" s="54" cm="1">
        <f t="array" ref="G5">(SUMPRODUCT($B$11:$F$11/(1+$B5)^$B$12:$F$12)+$F$11*(1+G$2)/($B5-G$2)/(1+$B5)^5-$B$13)/$B$14</f>
        <v>9.6384867983279072</v>
      </c>
    </row>
    <row r="6" spans="1:7" ht="22" customHeight="1" x14ac:dyDescent="0.35">
      <c r="A6" s="51"/>
      <c r="B6" s="52">
        <v>0.1169</v>
      </c>
      <c r="C6" s="53" cm="1">
        <f t="array" ref="C6">(SUMPRODUCT($B$11:$F$11/(1+$B6)^$B$12:$F$12)+$F$11*(1+C$2)/($B6-C$2)/(1+$B6)^5-$B$13)/$B$14</f>
        <v>7.608076015306124</v>
      </c>
      <c r="D6" s="53" cm="1">
        <f t="array" ref="D6">(SUMPRODUCT($B$11:$F$11/(1+$B6)^$B$12:$F$12)+$F$11*(1+D$2)/($B6-D$2)/(1+$B6)^5-$B$13)/$B$14</f>
        <v>7.8292878244783024</v>
      </c>
      <c r="E6" s="53" cm="1">
        <f t="array" ref="E6">(SUMPRODUCT($B$11:$F$11/(1+$B6)^$B$12:$F$12)+$F$11*(1+E$2)/($B6-E$2)/(1+$B6)^5-$B$13)/$B$14</f>
        <v>8.073328509726041</v>
      </c>
      <c r="F6" s="53" cm="1">
        <f t="array" ref="F6">(SUMPRODUCT($B$11:$F$11/(1+$B6)^$B$12:$F$12)+$F$11*(1+F$2)/($B6-F$2)/(1+$B6)^5-$B$13)/$B$14</f>
        <v>8.3439242205720081</v>
      </c>
      <c r="G6" s="54" cm="1">
        <f t="array" ref="G6">(SUMPRODUCT($B$11:$F$11/(1+$B6)^$B$12:$F$12)+$F$11*(1+G$2)/($B6-G$2)/(1+$B6)^5-$B$13)/$B$14</f>
        <v>8.6456586783507721</v>
      </c>
    </row>
    <row r="7" spans="1:7" ht="22" customHeight="1" x14ac:dyDescent="0.35">
      <c r="A7" s="56"/>
      <c r="B7" s="57">
        <v>0.12690000000000001</v>
      </c>
      <c r="C7" s="58" cm="1">
        <f t="array" ref="C7">(SUMPRODUCT($B$11:$F$11/(1+$B7)^$B$12:$F$12)+$F$11*(1+C$2)/($B7-C$2)/(1+$B7)^5-$B$13)/$B$14</f>
        <v>7.0374034816464759</v>
      </c>
      <c r="D7" s="58" cm="1">
        <f t="array" ref="D7">(SUMPRODUCT($B$11:$F$11/(1+$B7)^$B$12:$F$12)+$F$11*(1+D$2)/($B7-D$2)/(1+$B7)^5-$B$13)/$B$14</f>
        <v>7.2151623379429992</v>
      </c>
      <c r="E7" s="58" cm="1">
        <f t="array" ref="E7">(SUMPRODUCT($B$11:$F$11/(1+$B7)^$B$12:$F$12)+$F$11*(1+E$2)/($B7-E$2)/(1+$B7)^5-$B$13)/$B$14</f>
        <v>7.4095497121344263</v>
      </c>
      <c r="F7" s="58" cm="1">
        <f t="array" ref="F7">(SUMPRODUCT($B$11:$F$11/(1+$B7)^$B$12:$F$12)+$F$11*(1+F$2)/($B7-F$2)/(1+$B7)^5-$B$13)/$B$14</f>
        <v>7.6230133742739818</v>
      </c>
      <c r="G7" s="59" cm="1">
        <f t="array" ref="G7">(SUMPRODUCT($B$11:$F$11/(1+$B7)^$B$12:$F$12)+$F$11*(1+G$2)/($B7-G$2)/(1+$B7)^5-$B$13)/$B$14</f>
        <v>7.8585063101121504</v>
      </c>
    </row>
    <row r="10" spans="1:7" x14ac:dyDescent="0.35">
      <c r="A10" s="60" t="s">
        <v>75</v>
      </c>
      <c r="B10" s="10"/>
      <c r="C10" s="10"/>
      <c r="D10" s="10"/>
      <c r="E10" s="10"/>
      <c r="F10" s="10"/>
    </row>
    <row r="11" spans="1:7" x14ac:dyDescent="0.35">
      <c r="A11" s="61" t="s">
        <v>76</v>
      </c>
      <c r="B11" s="62">
        <f>'DCF model '!B23</f>
        <v>56.558735999999989</v>
      </c>
      <c r="C11" s="62">
        <f>'DCF model '!C23</f>
        <v>61.083434879999999</v>
      </c>
      <c r="D11" s="62">
        <f>'DCF model '!D23</f>
        <v>65.970109670400035</v>
      </c>
      <c r="E11" s="62">
        <f>'DCF model '!E23</f>
        <v>71.247718444032088</v>
      </c>
      <c r="F11" s="62">
        <f>'DCF model '!F23</f>
        <v>76.947535919554653</v>
      </c>
    </row>
    <row r="12" spans="1:7" x14ac:dyDescent="0.35">
      <c r="A12" s="61" t="s">
        <v>77</v>
      </c>
      <c r="B12" s="11">
        <v>1</v>
      </c>
      <c r="C12" s="11">
        <v>2</v>
      </c>
      <c r="D12" s="11">
        <v>3</v>
      </c>
      <c r="E12" s="11">
        <v>4</v>
      </c>
      <c r="F12" s="11">
        <v>5</v>
      </c>
    </row>
    <row r="13" spans="1:7" x14ac:dyDescent="0.35">
      <c r="A13" s="61" t="s">
        <v>78</v>
      </c>
      <c r="B13" s="62">
        <f>Historicals!D10</f>
        <v>-125.3</v>
      </c>
      <c r="C13" s="63"/>
      <c r="D13" s="63"/>
      <c r="E13" s="63"/>
      <c r="F13" s="63"/>
    </row>
    <row r="14" spans="1:7" x14ac:dyDescent="0.35">
      <c r="A14" s="61" t="s">
        <v>79</v>
      </c>
      <c r="B14" s="62">
        <f>Historicals!D11</f>
        <v>102.6</v>
      </c>
      <c r="C14" s="63"/>
      <c r="D14" s="63"/>
      <c r="E14" s="63"/>
      <c r="F14" s="6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99DB3-B4F6-40DF-97D1-C7F9C5337C12}">
  <dimension ref="A1:J34"/>
  <sheetViews>
    <sheetView showGridLines="0" zoomScale="55" workbookViewId="0">
      <selection activeCell="A37" sqref="A37"/>
    </sheetView>
  </sheetViews>
  <sheetFormatPr defaultRowHeight="14.5" x14ac:dyDescent="0.35"/>
  <cols>
    <col min="1" max="1" width="36.36328125" customWidth="1"/>
    <col min="2" max="10" width="18.1796875" customWidth="1"/>
  </cols>
  <sheetData>
    <row r="1" spans="1:10" ht="26" customHeight="1" x14ac:dyDescent="0.35">
      <c r="A1" s="24" t="s">
        <v>46</v>
      </c>
      <c r="B1" s="25"/>
      <c r="C1" s="26"/>
      <c r="D1" s="27"/>
      <c r="F1" s="26"/>
      <c r="G1" s="26"/>
    </row>
    <row r="2" spans="1:10" ht="22" customHeight="1" x14ac:dyDescent="0.35">
      <c r="A2" s="12" t="s">
        <v>47</v>
      </c>
      <c r="B2" s="13" t="s">
        <v>35</v>
      </c>
      <c r="C2" s="71" t="s">
        <v>36</v>
      </c>
      <c r="D2" s="80"/>
      <c r="F2" s="70" t="s">
        <v>34</v>
      </c>
      <c r="G2" s="71"/>
      <c r="H2" s="13" t="s">
        <v>35</v>
      </c>
      <c r="I2" s="71" t="s">
        <v>36</v>
      </c>
      <c r="J2" s="72"/>
    </row>
    <row r="3" spans="1:10" ht="48" customHeight="1" x14ac:dyDescent="0.35">
      <c r="A3" s="28" t="s">
        <v>12</v>
      </c>
      <c r="B3" s="18">
        <v>0.08</v>
      </c>
      <c r="C3" s="75" t="s">
        <v>23</v>
      </c>
      <c r="D3" s="77"/>
      <c r="F3" s="73" t="s">
        <v>20</v>
      </c>
      <c r="G3" s="74"/>
      <c r="H3" s="16">
        <v>4.9399999999999999E-2</v>
      </c>
      <c r="I3" s="75" t="s">
        <v>29</v>
      </c>
      <c r="J3" s="76"/>
    </row>
    <row r="4" spans="1:10" ht="48" customHeight="1" x14ac:dyDescent="0.35">
      <c r="A4" s="28" t="s">
        <v>13</v>
      </c>
      <c r="B4" s="18">
        <v>9.8000000000000004E-2</v>
      </c>
      <c r="C4" s="75" t="s">
        <v>24</v>
      </c>
      <c r="D4" s="77"/>
      <c r="F4" s="73" t="s">
        <v>21</v>
      </c>
      <c r="G4" s="74"/>
      <c r="H4" s="17">
        <v>1.1499999999999999</v>
      </c>
      <c r="I4" s="75" t="s">
        <v>30</v>
      </c>
      <c r="J4" s="76"/>
    </row>
    <row r="5" spans="1:10" ht="48" customHeight="1" x14ac:dyDescent="0.35">
      <c r="A5" s="28" t="s">
        <v>14</v>
      </c>
      <c r="B5" s="18">
        <v>0.25</v>
      </c>
      <c r="C5" s="75" t="s">
        <v>25</v>
      </c>
      <c r="D5" s="77"/>
      <c r="F5" s="73" t="s">
        <v>37</v>
      </c>
      <c r="G5" s="74"/>
      <c r="H5" s="18">
        <v>0.05</v>
      </c>
      <c r="I5" s="75" t="s">
        <v>38</v>
      </c>
      <c r="J5" s="76"/>
    </row>
    <row r="6" spans="1:10" ht="48" customHeight="1" x14ac:dyDescent="0.35">
      <c r="A6" s="28" t="s">
        <v>15</v>
      </c>
      <c r="B6" s="18">
        <v>7.0000000000000007E-2</v>
      </c>
      <c r="C6" s="75" t="s">
        <v>26</v>
      </c>
      <c r="D6" s="77"/>
      <c r="F6" s="78" t="s">
        <v>39</v>
      </c>
      <c r="G6" s="79"/>
      <c r="H6" s="19">
        <f>H3+H4*H5</f>
        <v>0.1069</v>
      </c>
      <c r="I6" s="75" t="s">
        <v>40</v>
      </c>
      <c r="J6" s="76"/>
    </row>
    <row r="7" spans="1:10" ht="48" customHeight="1" x14ac:dyDescent="0.35">
      <c r="A7" s="28" t="s">
        <v>16</v>
      </c>
      <c r="B7" s="18">
        <v>0.115</v>
      </c>
      <c r="C7" s="75" t="s">
        <v>27</v>
      </c>
      <c r="D7" s="77"/>
      <c r="F7" s="73" t="s">
        <v>22</v>
      </c>
      <c r="G7" s="74"/>
      <c r="H7" s="18">
        <v>0.03</v>
      </c>
      <c r="I7" s="75" t="s">
        <v>41</v>
      </c>
      <c r="J7" s="76"/>
    </row>
    <row r="8" spans="1:10" ht="48" customHeight="1" x14ac:dyDescent="0.35">
      <c r="A8" s="28" t="s">
        <v>17</v>
      </c>
      <c r="B8" s="16">
        <v>2.5000000000000001E-3</v>
      </c>
      <c r="C8" s="75" t="s">
        <v>28</v>
      </c>
      <c r="D8" s="77"/>
      <c r="F8" s="73" t="s">
        <v>42</v>
      </c>
      <c r="G8" s="74"/>
      <c r="H8" s="20">
        <v>1</v>
      </c>
      <c r="I8" s="75" t="s">
        <v>43</v>
      </c>
      <c r="J8" s="76"/>
    </row>
    <row r="9" spans="1:10" ht="48" customHeight="1" x14ac:dyDescent="0.35">
      <c r="A9" s="29" t="s">
        <v>18</v>
      </c>
      <c r="B9" s="22">
        <f>H10</f>
        <v>0.1069</v>
      </c>
      <c r="C9" s="75" t="s">
        <v>48</v>
      </c>
      <c r="D9" s="77"/>
      <c r="F9" s="73" t="s">
        <v>44</v>
      </c>
      <c r="G9" s="74"/>
      <c r="H9" s="20">
        <v>0</v>
      </c>
      <c r="I9" s="75" t="s">
        <v>33</v>
      </c>
      <c r="J9" s="76"/>
    </row>
    <row r="10" spans="1:10" ht="48" customHeight="1" x14ac:dyDescent="0.35">
      <c r="A10" s="30" t="s">
        <v>19</v>
      </c>
      <c r="B10" s="23">
        <v>0.02</v>
      </c>
      <c r="C10" s="67" t="s">
        <v>32</v>
      </c>
      <c r="D10" s="69"/>
      <c r="F10" s="65" t="s">
        <v>18</v>
      </c>
      <c r="G10" s="66"/>
      <c r="H10" s="21">
        <f>H8*H6+H9*H7</f>
        <v>0.1069</v>
      </c>
      <c r="I10" s="67" t="s">
        <v>45</v>
      </c>
      <c r="J10" s="68"/>
    </row>
    <row r="13" spans="1:10" ht="22" customHeight="1" x14ac:dyDescent="0.35">
      <c r="A13" s="12" t="s">
        <v>49</v>
      </c>
      <c r="B13" s="14"/>
      <c r="C13" s="14"/>
      <c r="D13" s="14"/>
      <c r="E13" s="14"/>
      <c r="F13" s="15"/>
      <c r="G13" s="9"/>
    </row>
    <row r="14" spans="1:10" ht="22" customHeight="1" x14ac:dyDescent="0.35">
      <c r="A14" s="31"/>
      <c r="B14" s="32" t="s">
        <v>50</v>
      </c>
      <c r="C14" s="32" t="s">
        <v>51</v>
      </c>
      <c r="D14" s="32" t="s">
        <v>52</v>
      </c>
      <c r="E14" s="32" t="s">
        <v>53</v>
      </c>
      <c r="F14" s="33" t="s">
        <v>54</v>
      </c>
    </row>
    <row r="15" spans="1:10" ht="20" customHeight="1" x14ac:dyDescent="0.35">
      <c r="A15" s="34" t="s">
        <v>2</v>
      </c>
      <c r="B15" s="40">
        <f>Historicals!D5*(1+'DCF model '!$B$3)</f>
        <v>2175.3360000000002</v>
      </c>
      <c r="C15" s="40">
        <f>B15*(1+$B$3)</f>
        <v>2349.3628800000006</v>
      </c>
      <c r="D15" s="40">
        <f t="shared" ref="D15:F15" si="0">C15*(1+$B$3)</f>
        <v>2537.3119104000007</v>
      </c>
      <c r="E15" s="40">
        <f t="shared" si="0"/>
        <v>2740.2968632320008</v>
      </c>
      <c r="F15" s="40">
        <f t="shared" si="0"/>
        <v>2959.5206122905611</v>
      </c>
    </row>
    <row r="16" spans="1:10" ht="20" customHeight="1" x14ac:dyDescent="0.35">
      <c r="A16" s="34" t="s">
        <v>55</v>
      </c>
      <c r="B16" s="40">
        <f>B17+(B15*$B$6)</f>
        <v>365.45644800000002</v>
      </c>
      <c r="C16" s="40">
        <f t="shared" ref="C16:F16" si="1">C17+(C15*$B$6)</f>
        <v>394.69296384000012</v>
      </c>
      <c r="D16" s="40">
        <f t="shared" si="1"/>
        <v>426.26840094720012</v>
      </c>
      <c r="E16" s="40">
        <f t="shared" si="1"/>
        <v>460.36987302297621</v>
      </c>
      <c r="F16" s="40">
        <f t="shared" si="1"/>
        <v>497.19946286481434</v>
      </c>
    </row>
    <row r="17" spans="1:6" ht="20" customHeight="1" x14ac:dyDescent="0.35">
      <c r="A17" s="34" t="s">
        <v>56</v>
      </c>
      <c r="B17" s="41">
        <f>B15*$B$4</f>
        <v>213.18292800000003</v>
      </c>
      <c r="C17" s="41">
        <f t="shared" ref="C17:F17" si="2">C15*$B$4</f>
        <v>230.23756224000007</v>
      </c>
      <c r="D17" s="41">
        <f t="shared" si="2"/>
        <v>248.65656721920007</v>
      </c>
      <c r="E17" s="41">
        <f t="shared" si="2"/>
        <v>268.5490925967361</v>
      </c>
      <c r="F17" s="41">
        <f t="shared" si="2"/>
        <v>290.03302000447502</v>
      </c>
    </row>
    <row r="18" spans="1:6" ht="20" customHeight="1" x14ac:dyDescent="0.35">
      <c r="A18" s="34" t="s">
        <v>57</v>
      </c>
      <c r="B18" s="40">
        <f>-B17*$B$5</f>
        <v>-53.295732000000008</v>
      </c>
      <c r="C18" s="40">
        <f t="shared" ref="C18:F18" si="3">-C17*$B$5</f>
        <v>-57.559390560000018</v>
      </c>
      <c r="D18" s="40">
        <f t="shared" si="3"/>
        <v>-62.164141804800018</v>
      </c>
      <c r="E18" s="40">
        <f t="shared" si="3"/>
        <v>-67.137273149184026</v>
      </c>
      <c r="F18" s="40">
        <f t="shared" si="3"/>
        <v>-72.508255001118755</v>
      </c>
    </row>
    <row r="19" spans="1:6" ht="20" customHeight="1" x14ac:dyDescent="0.35">
      <c r="A19" s="35" t="s">
        <v>58</v>
      </c>
      <c r="B19" s="42">
        <f>B17+B18</f>
        <v>159.88719600000002</v>
      </c>
      <c r="C19" s="42">
        <f t="shared" ref="C19:F19" si="4">C17+C18</f>
        <v>172.67817168000005</v>
      </c>
      <c r="D19" s="42">
        <f t="shared" si="4"/>
        <v>186.49242541440006</v>
      </c>
      <c r="E19" s="42">
        <f t="shared" si="4"/>
        <v>201.41181944755209</v>
      </c>
      <c r="F19" s="42">
        <f t="shared" si="4"/>
        <v>217.52476500335626</v>
      </c>
    </row>
    <row r="20" spans="1:6" ht="20" customHeight="1" x14ac:dyDescent="0.35">
      <c r="A20" s="34" t="s">
        <v>59</v>
      </c>
      <c r="B20" s="43">
        <f>B15*$B$6</f>
        <v>152.27352000000002</v>
      </c>
      <c r="C20" s="43">
        <f t="shared" ref="C20:F20" si="5">C15*$B$6</f>
        <v>164.45540160000004</v>
      </c>
      <c r="D20" s="43">
        <f t="shared" si="5"/>
        <v>177.61183372800005</v>
      </c>
      <c r="E20" s="43">
        <f t="shared" si="5"/>
        <v>191.82078042624008</v>
      </c>
      <c r="F20" s="43">
        <f t="shared" si="5"/>
        <v>207.16644286033929</v>
      </c>
    </row>
    <row r="21" spans="1:6" ht="20" customHeight="1" x14ac:dyDescent="0.35">
      <c r="A21" s="34" t="s">
        <v>60</v>
      </c>
      <c r="B21" s="40">
        <f>-B15*$B$7</f>
        <v>-250.16364000000004</v>
      </c>
      <c r="C21" s="40">
        <f t="shared" ref="C21:F21" si="6">-C15*$B$7</f>
        <v>-270.17673120000006</v>
      </c>
      <c r="D21" s="40">
        <f t="shared" si="6"/>
        <v>-291.79086969600007</v>
      </c>
      <c r="E21" s="40">
        <f t="shared" si="6"/>
        <v>-315.13413927168011</v>
      </c>
      <c r="F21" s="40">
        <f t="shared" si="6"/>
        <v>-340.34487041341453</v>
      </c>
    </row>
    <row r="22" spans="1:6" ht="20" customHeight="1" x14ac:dyDescent="0.35">
      <c r="A22" s="34" t="s">
        <v>61</v>
      </c>
      <c r="B22" s="40">
        <f>-B15*$B$8</f>
        <v>-5.4383400000000011</v>
      </c>
      <c r="C22" s="40">
        <f t="shared" ref="C22:F22" si="7">-C15*$B$8</f>
        <v>-5.8734072000000017</v>
      </c>
      <c r="D22" s="40">
        <f t="shared" si="7"/>
        <v>-6.3432797760000019</v>
      </c>
      <c r="E22" s="40">
        <f t="shared" si="7"/>
        <v>-6.8507421580800019</v>
      </c>
      <c r="F22" s="40">
        <f t="shared" si="7"/>
        <v>-7.398801530726403</v>
      </c>
    </row>
    <row r="23" spans="1:6" ht="20" customHeight="1" x14ac:dyDescent="0.35">
      <c r="A23" s="36" t="s">
        <v>62</v>
      </c>
      <c r="B23" s="44">
        <f>B19+B20+B21+B22</f>
        <v>56.558735999999989</v>
      </c>
      <c r="C23" s="44">
        <f t="shared" ref="C23:F23" si="8">C19+C20+C21+C22</f>
        <v>61.083434879999999</v>
      </c>
      <c r="D23" s="44">
        <f t="shared" si="8"/>
        <v>65.970109670400035</v>
      </c>
      <c r="E23" s="44">
        <f t="shared" si="8"/>
        <v>71.247718444032088</v>
      </c>
      <c r="F23" s="44">
        <f t="shared" si="8"/>
        <v>76.947535919554653</v>
      </c>
    </row>
    <row r="24" spans="1:6" ht="20" customHeight="1" x14ac:dyDescent="0.35">
      <c r="A24" s="34" t="s">
        <v>63</v>
      </c>
      <c r="B24" s="37">
        <f>1/(1+$B$9)^1</f>
        <v>0.90342397687234621</v>
      </c>
      <c r="C24" s="37">
        <f>1/(1+$B$9)^2</f>
        <v>0.8161748819878456</v>
      </c>
      <c r="D24" s="37">
        <f>1/(1+$B$9)^3</f>
        <v>0.73735195770877726</v>
      </c>
      <c r="E24" s="37">
        <f>1/(1+$B$9)^4</f>
        <v>0.66614143798787362</v>
      </c>
      <c r="F24" s="38">
        <f>1/(1+$B$9)^5</f>
        <v>0.60180814706646824</v>
      </c>
    </row>
    <row r="25" spans="1:6" ht="20" customHeight="1" x14ac:dyDescent="0.35">
      <c r="A25" s="39" t="s">
        <v>64</v>
      </c>
      <c r="B25" s="45">
        <f>B23*B24</f>
        <v>51.096518203993128</v>
      </c>
      <c r="C25" s="45">
        <f t="shared" ref="C25:F25" si="9">C23*C24</f>
        <v>49.854765254596252</v>
      </c>
      <c r="D25" s="45">
        <f t="shared" si="9"/>
        <v>48.643189515732203</v>
      </c>
      <c r="E25" s="45">
        <f t="shared" si="9"/>
        <v>47.461057617662682</v>
      </c>
      <c r="F25" s="45">
        <f t="shared" si="9"/>
        <v>46.307654013077695</v>
      </c>
    </row>
    <row r="27" spans="1:6" x14ac:dyDescent="0.35">
      <c r="A27" t="s">
        <v>65</v>
      </c>
      <c r="B27" s="3">
        <f>SUM(B25:F25)</f>
        <v>243.36318460506197</v>
      </c>
    </row>
    <row r="28" spans="1:6" x14ac:dyDescent="0.35">
      <c r="A28" t="s">
        <v>66</v>
      </c>
      <c r="B28" s="3">
        <f>(F23*(1+$B$10))/($B$9-$B$10)</f>
        <v>903.18166441824803</v>
      </c>
    </row>
    <row r="29" spans="1:6" x14ac:dyDescent="0.35">
      <c r="A29" t="s">
        <v>67</v>
      </c>
      <c r="B29" s="3">
        <f>B28*F24</f>
        <v>543.54208392795454</v>
      </c>
    </row>
    <row r="30" spans="1:6" x14ac:dyDescent="0.35">
      <c r="A30" s="4" t="s">
        <v>68</v>
      </c>
      <c r="B30" s="46">
        <f>B27+B29</f>
        <v>786.90526853301651</v>
      </c>
    </row>
    <row r="31" spans="1:6" x14ac:dyDescent="0.35">
      <c r="A31" t="s">
        <v>69</v>
      </c>
      <c r="B31" s="3">
        <f>B30-Historicals!D10</f>
        <v>912.20526853301646</v>
      </c>
    </row>
    <row r="32" spans="1:6" x14ac:dyDescent="0.35">
      <c r="A32" t="s">
        <v>71</v>
      </c>
      <c r="B32" s="3">
        <f>B31/Historicals!D11</f>
        <v>8.890889556852013</v>
      </c>
    </row>
    <row r="33" spans="1:2" x14ac:dyDescent="0.35">
      <c r="A33" t="s">
        <v>70</v>
      </c>
      <c r="B33" s="3">
        <f>Historicals!D12</f>
        <v>19.149999999999999</v>
      </c>
    </row>
    <row r="34" spans="1:2" x14ac:dyDescent="0.35">
      <c r="A34" t="s">
        <v>72</v>
      </c>
      <c r="B34" s="8">
        <f>B32/B33-1</f>
        <v>-0.53572378293200973</v>
      </c>
    </row>
  </sheetData>
  <mergeCells count="27">
    <mergeCell ref="C4:D4"/>
    <mergeCell ref="C5:D5"/>
    <mergeCell ref="I5:J5"/>
    <mergeCell ref="C2:D2"/>
    <mergeCell ref="C3:D3"/>
    <mergeCell ref="C6:D6"/>
    <mergeCell ref="C7:D7"/>
    <mergeCell ref="F6:G6"/>
    <mergeCell ref="I6:J6"/>
    <mergeCell ref="F7:G7"/>
    <mergeCell ref="I7:J7"/>
    <mergeCell ref="F10:G10"/>
    <mergeCell ref="I10:J10"/>
    <mergeCell ref="C10:D10"/>
    <mergeCell ref="F2:G2"/>
    <mergeCell ref="I2:J2"/>
    <mergeCell ref="F3:G3"/>
    <mergeCell ref="I3:J3"/>
    <mergeCell ref="F4:G4"/>
    <mergeCell ref="I4:J4"/>
    <mergeCell ref="F5:G5"/>
    <mergeCell ref="C8:D8"/>
    <mergeCell ref="C9:D9"/>
    <mergeCell ref="F8:G8"/>
    <mergeCell ref="I8:J8"/>
    <mergeCell ref="F9:G9"/>
    <mergeCell ref="I9:J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7A508-F850-44BC-A6CB-EF9B2717D79E}">
  <dimension ref="A1:A27"/>
  <sheetViews>
    <sheetView showGridLines="0" tabSelected="1" zoomScale="96" workbookViewId="0">
      <selection activeCell="B24" sqref="B24"/>
    </sheetView>
  </sheetViews>
  <sheetFormatPr defaultRowHeight="14.5" x14ac:dyDescent="0.35"/>
  <sheetData>
    <row r="1" spans="1:1" ht="21" x14ac:dyDescent="0.5">
      <c r="A1" s="1" t="s">
        <v>80</v>
      </c>
    </row>
    <row r="2" spans="1:1" x14ac:dyDescent="0.35">
      <c r="A2" t="s">
        <v>81</v>
      </c>
    </row>
    <row r="3" spans="1:1" x14ac:dyDescent="0.35">
      <c r="A3" t="s">
        <v>82</v>
      </c>
    </row>
    <row r="5" spans="1:1" x14ac:dyDescent="0.35">
      <c r="A5" t="s">
        <v>83</v>
      </c>
    </row>
    <row r="6" spans="1:1" x14ac:dyDescent="0.35">
      <c r="A6" t="s">
        <v>84</v>
      </c>
    </row>
    <row r="7" spans="1:1" x14ac:dyDescent="0.35">
      <c r="A7" t="s">
        <v>85</v>
      </c>
    </row>
    <row r="8" spans="1:1" x14ac:dyDescent="0.35">
      <c r="A8" t="s">
        <v>87</v>
      </c>
    </row>
    <row r="9" spans="1:1" x14ac:dyDescent="0.35">
      <c r="A9" t="s">
        <v>86</v>
      </c>
    </row>
    <row r="10" spans="1:1" x14ac:dyDescent="0.35">
      <c r="A10" t="s">
        <v>88</v>
      </c>
    </row>
    <row r="11" spans="1:1" x14ac:dyDescent="0.35">
      <c r="A11" t="s">
        <v>89</v>
      </c>
    </row>
    <row r="13" spans="1:1" x14ac:dyDescent="0.35">
      <c r="A13" t="s">
        <v>31</v>
      </c>
    </row>
    <row r="14" spans="1:1" x14ac:dyDescent="0.35">
      <c r="A14" t="s">
        <v>90</v>
      </c>
    </row>
    <row r="15" spans="1:1" x14ac:dyDescent="0.35">
      <c r="A15" t="s">
        <v>91</v>
      </c>
    </row>
    <row r="16" spans="1:1" x14ac:dyDescent="0.35">
      <c r="A16" t="s">
        <v>92</v>
      </c>
    </row>
    <row r="17" spans="1:1" x14ac:dyDescent="0.35">
      <c r="A17" t="s">
        <v>93</v>
      </c>
    </row>
    <row r="18" spans="1:1" x14ac:dyDescent="0.35">
      <c r="A18" t="s">
        <v>94</v>
      </c>
    </row>
    <row r="19" spans="1:1" x14ac:dyDescent="0.35">
      <c r="A19" t="s">
        <v>95</v>
      </c>
    </row>
    <row r="20" spans="1:1" x14ac:dyDescent="0.35">
      <c r="A20" t="s">
        <v>96</v>
      </c>
    </row>
    <row r="21" spans="1:1" x14ac:dyDescent="0.35">
      <c r="A21" t="s">
        <v>97</v>
      </c>
    </row>
    <row r="22" spans="1:1" x14ac:dyDescent="0.35">
      <c r="A22" t="s">
        <v>98</v>
      </c>
    </row>
    <row r="26" spans="1:1" x14ac:dyDescent="0.35">
      <c r="A26" s="64"/>
    </row>
    <row r="27" spans="1:1" x14ac:dyDescent="0.35">
      <c r="A27" s="6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Historicals</vt:lpstr>
      <vt:lpstr>Sensitivity </vt:lpstr>
      <vt:lpstr>DCF model 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Mandir</dc:creator>
  <cp:lastModifiedBy>Aaron Mandir</cp:lastModifiedBy>
  <dcterms:created xsi:type="dcterms:W3CDTF">2026-08-04T21:11:37Z</dcterms:created>
  <dcterms:modified xsi:type="dcterms:W3CDTF">2026-08-20T11:46:40Z</dcterms:modified>
</cp:coreProperties>
</file>